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ntha\Documents\student_projects\Morgan\"/>
    </mc:Choice>
  </mc:AlternateContent>
  <xr:revisionPtr revIDLastSave="0" documentId="13_ncr:1_{18DEA39A-AF6D-4D95-8F1C-A41AD3A12773}" xr6:coauthVersionLast="47" xr6:coauthVersionMax="47" xr10:uidLastSave="{00000000-0000-0000-0000-000000000000}"/>
  <bookViews>
    <workbookView xWindow="-110" yWindow="-110" windowWidth="19420" windowHeight="10300" xr2:uid="{2F644D28-AA1F-4822-91D1-A1A2E4DE8B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<sst xmlns="http://schemas.openxmlformats.org/spreadsheetml/2006/main" count="89" uniqueCount="63">
  <si>
    <t>Data set</t>
  </si>
  <si>
    <t xml:space="preserve"> n data points</t>
  </si>
  <si>
    <t xml:space="preserve"> R2 test</t>
  </si>
  <si>
    <t xml:space="preserve"> R2 train</t>
  </si>
  <si>
    <t xml:space="preserve"> MAE</t>
  </si>
  <si>
    <t>vpd</t>
  </si>
  <si>
    <t>ppfd_in</t>
  </si>
  <si>
    <t>swc_shallow</t>
  </si>
  <si>
    <t>k_means_0_rf</t>
  </si>
  <si>
    <t xml:space="preserve"> {'max_depth': 25</t>
  </si>
  <si>
    <t>k_means_1_rf</t>
  </si>
  <si>
    <t xml:space="preserve"> {'max_depth': 20</t>
  </si>
  <si>
    <t>k_means_2_rf</t>
  </si>
  <si>
    <t>k_means_3_rf</t>
  </si>
  <si>
    <t>biome_WoodlandShrubland_rf</t>
  </si>
  <si>
    <t>biome_Temperate forest_rf</t>
  </si>
  <si>
    <t>biome_Tropical rain forest_rf</t>
  </si>
  <si>
    <t>biome_Tropical forest savanna_rf</t>
  </si>
  <si>
    <t>biome_Subtropical desert_rf</t>
  </si>
  <si>
    <t>biome_Boreal forest_rf</t>
  </si>
  <si>
    <t>biome_Temperate grassland desert_rf</t>
  </si>
  <si>
    <t xml:space="preserve"> 'n_estimators': 1200} </t>
  </si>
  <si>
    <t>pft_Deciduous_rf</t>
  </si>
  <si>
    <t>pft_Evergreen_rf</t>
  </si>
  <si>
    <t>pft_Mixed_rf</t>
  </si>
  <si>
    <t xml:space="preserve"> 'n_estimators': 800} </t>
  </si>
  <si>
    <t>Best estimators</t>
  </si>
  <si>
    <t xml:space="preserve"> Best depth</t>
  </si>
  <si>
    <t>ta</t>
  </si>
  <si>
    <t>n locations</t>
  </si>
  <si>
    <t>MAP</t>
  </si>
  <si>
    <t>MAT</t>
  </si>
  <si>
    <t>1002.3596418743849</t>
  </si>
  <si>
    <t>10.529357355162722</t>
  </si>
  <si>
    <t>792.2920349937875</t>
  </si>
  <si>
    <t>10.919319817383737</t>
  </si>
  <si>
    <t>868.4980228397974</t>
  </si>
  <si>
    <t>13.95890183460575</t>
  </si>
  <si>
    <t>2980.945715704293</t>
  </si>
  <si>
    <t>25.522803205611428</t>
  </si>
  <si>
    <t>640.3227827482718</t>
  </si>
  <si>
    <t>9.321329162382046</t>
  </si>
  <si>
    <t>1120.4710430383159</t>
  </si>
  <si>
    <t>10.243512068883469</t>
  </si>
  <si>
    <t>20.24131054687389</t>
  </si>
  <si>
    <t>280.72297867614304</t>
  </si>
  <si>
    <t>26.034669449917814</t>
  </si>
  <si>
    <t>744.0084461563787</t>
  </si>
  <si>
    <t>1.5190655547093417</t>
  </si>
  <si>
    <t>311.42915626859866</t>
  </si>
  <si>
    <t>12.667087645095911</t>
  </si>
  <si>
    <t>907.1105118146809</t>
  </si>
  <si>
    <t>11.666066657426803</t>
  </si>
  <si>
    <t>897.2460129564414</t>
  </si>
  <si>
    <t>12.321685569458685</t>
  </si>
  <si>
    <t>979.7971143080708</t>
  </si>
  <si>
    <t>10.20043921142637</t>
  </si>
  <si>
    <t>Sap flux average</t>
  </si>
  <si>
    <t>ta_avg</t>
  </si>
  <si>
    <t>vpd_avg</t>
  </si>
  <si>
    <t>ppfd_in_avg</t>
  </si>
  <si>
    <t>swc_shallow_avg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</si>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</sst>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2DD6-D5DC-43D4-8D5A-090B6D844073}">
  <dimension ref="A1:T36"/>
  <sheetViews>
    <sheetView tabSelected="1" workbookViewId="0">
      <selection activeCell="D6" sqref="D6"/>
    </sheetView>
  </sheetViews>
  <sheetFormatPr defaultRowHeight="14.5" x14ac:dyDescent="0.35"/>
  <cols>
    <col min="1" max="1" width="42.81640625" customWidth="1"/>
    <col min="2" max="2" width="19" customWidth="1"/>
    <col min="11" max="11" width="47.81640625" customWidth="1"/>
  </cols>
  <sheetData>
    <row r="1" spans="1:20" x14ac:dyDescent="0.35">
      <c r="A1" t="s">
        <v>0</v>
      </c>
      <c r="B1" t="s">
        <v>29</v>
      </c>
      <c r="C1" t="s">
        <v>1</v>
      </c>
      <c r="D1" t="s">
        <v>2</v>
      </c>
      <c r="E1" t="s">
        <v>3</v>
      </c>
      <c r="F1" t="s">
        <v>4</v>
      </c>
      <c r="G1" t="s">
        <v>28</v>
      </c>
      <c r="H1" t="s">
        <v>5</v>
      </c>
      <c r="I1" t="s">
        <v>6</v>
      </c>
      <c r="J1" t="s">
        <v>7</v>
      </c>
      <c r="K1" t="s">
        <v>27</v>
      </c>
      <c r="L1" t="s">
        <v>26</v>
      </c>
      <c r="N1" t="s">
        <v>30</v>
      </c>
      <c r="O1" t="s">
        <v>31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</row>
    <row r="2" spans="1:20" x14ac:dyDescent="0.35">
      <c r="A2" t="s">
        <v>8</v>
      </c>
      <c r="B2">
        <v>73</v>
      </c>
      <c r="C2">
        <v>1831729</v>
      </c>
      <c r="D2">
        <v>0.48067075799999998</v>
      </c>
      <c r="E2">
        <v>0.46872455899999999</v>
      </c>
      <c r="F2">
        <v>320.24768499999999</v>
      </c>
      <c r="G2">
        <v>0.2102</v>
      </c>
      <c r="H2">
        <v>0.185</v>
      </c>
      <c r="I2">
        <v>0.33279999999999998</v>
      </c>
      <c r="J2">
        <v>0.27200000000000002</v>
      </c>
      <c r="K2" t="s">
        <v>9</v>
      </c>
      <c r="L2" t="s">
        <v>21</v>
      </c>
      <c r="N2" s="1" t="s">
        <v>32</v>
      </c>
      <c r="O2" s="1" t="s">
        <v>33</v>
      </c>
      <c r="P2">
        <v>470.634716347081</v>
      </c>
      <c r="Q2">
        <v>14.026697196711201</v>
      </c>
      <c r="R2">
        <v>0.80833812367924596</v>
      </c>
      <c r="S2">
        <v>393.26234847946</v>
      </c>
      <c r="T2">
        <v>0.140528382182005</v>
      </c>
    </row>
    <row r="3" spans="1:20" x14ac:dyDescent="0.35">
      <c r="A3" t="s">
        <v>10</v>
      </c>
      <c r="B3">
        <v>5</v>
      </c>
      <c r="C3">
        <v>59346</v>
      </c>
      <c r="D3">
        <v>0.83498642599999995</v>
      </c>
      <c r="E3">
        <v>0.832722933</v>
      </c>
      <c r="F3">
        <v>1218.1312909999999</v>
      </c>
      <c r="G3">
        <v>0.11550000000000001</v>
      </c>
      <c r="H3">
        <v>9.0399999999999994E-2</v>
      </c>
      <c r="I3">
        <v>0.61409999999999998</v>
      </c>
      <c r="J3">
        <v>0.18</v>
      </c>
      <c r="K3" t="s">
        <v>11</v>
      </c>
      <c r="L3" t="s">
        <v>21</v>
      </c>
      <c r="N3" s="1" t="s">
        <v>34</v>
      </c>
      <c r="O3" s="1" t="s">
        <v>35</v>
      </c>
      <c r="P3">
        <v>4262.67067891448</v>
      </c>
      <c r="Q3">
        <v>25.679286796789299</v>
      </c>
      <c r="R3">
        <v>0.52797179872035604</v>
      </c>
      <c r="S3">
        <v>359.54010333443301</v>
      </c>
      <c r="T3">
        <v>0.249210856671048</v>
      </c>
    </row>
    <row r="4" spans="1:20" x14ac:dyDescent="0.35">
      <c r="A4" t="s">
        <v>12</v>
      </c>
      <c r="B4">
        <v>15</v>
      </c>
      <c r="C4">
        <v>301659</v>
      </c>
      <c r="D4">
        <v>0.75351196899999995</v>
      </c>
      <c r="E4">
        <v>0.74790595999999998</v>
      </c>
      <c r="F4">
        <v>996.8362472</v>
      </c>
      <c r="G4">
        <v>0.12989999999999999</v>
      </c>
      <c r="H4">
        <v>0.4859</v>
      </c>
      <c r="I4">
        <v>0.22559999999999999</v>
      </c>
      <c r="J4">
        <v>0.15859999999999999</v>
      </c>
      <c r="K4" t="s">
        <v>9</v>
      </c>
      <c r="L4" t="s">
        <v>21</v>
      </c>
      <c r="N4" s="1" t="s">
        <v>36</v>
      </c>
      <c r="O4" s="1" t="s">
        <v>37</v>
      </c>
      <c r="P4">
        <v>2847.3308634431201</v>
      </c>
      <c r="Q4">
        <v>15.8431097294946</v>
      </c>
      <c r="R4">
        <v>0.479668849230381</v>
      </c>
      <c r="S4">
        <v>264.54299726826798</v>
      </c>
      <c r="T4">
        <v>0.32893216866785302</v>
      </c>
    </row>
    <row r="5" spans="1:20" x14ac:dyDescent="0.35">
      <c r="A5" t="s">
        <v>13</v>
      </c>
      <c r="B5">
        <v>2</v>
      </c>
      <c r="C5">
        <v>49875</v>
      </c>
      <c r="D5">
        <v>0.96538919899999998</v>
      </c>
      <c r="E5">
        <v>0.96374980799999999</v>
      </c>
      <c r="F5">
        <v>899.46172179999996</v>
      </c>
      <c r="G5">
        <v>1.2E-2</v>
      </c>
      <c r="H5">
        <v>0.21310000000000001</v>
      </c>
      <c r="I5">
        <v>0.75929999999999997</v>
      </c>
      <c r="J5">
        <v>1.5599999999999999E-2</v>
      </c>
      <c r="K5" t="s">
        <v>9</v>
      </c>
      <c r="L5" t="s">
        <v>25</v>
      </c>
      <c r="N5" s="1" t="s">
        <v>38</v>
      </c>
      <c r="O5" s="1" t="s">
        <v>39</v>
      </c>
      <c r="P5">
        <v>6886.2211250727796</v>
      </c>
      <c r="Q5">
        <v>11.3194127268707</v>
      </c>
      <c r="R5">
        <v>0.45569312194720002</v>
      </c>
      <c r="S5">
        <v>378.26232563087302</v>
      </c>
      <c r="T5">
        <v>0.20917951880888999</v>
      </c>
    </row>
    <row r="6" spans="1:20" x14ac:dyDescent="0.35">
      <c r="A6" t="s">
        <v>22</v>
      </c>
      <c r="B6">
        <v>35</v>
      </c>
      <c r="C6">
        <v>254402</v>
      </c>
      <c r="D6">
        <v>0.771645307</v>
      </c>
      <c r="E6">
        <v>0.76201825300000003</v>
      </c>
      <c r="F6">
        <v>764.09345240000005</v>
      </c>
      <c r="G6">
        <v>0.17810000000000001</v>
      </c>
      <c r="H6">
        <v>0.34260000000000002</v>
      </c>
      <c r="I6">
        <v>0.2109</v>
      </c>
      <c r="J6">
        <v>0.26829999999999998</v>
      </c>
      <c r="K6" t="s">
        <v>9</v>
      </c>
      <c r="L6" t="s">
        <v>21</v>
      </c>
      <c r="N6" s="1" t="s">
        <v>53</v>
      </c>
      <c r="O6" s="1" t="s">
        <v>54</v>
      </c>
      <c r="P6">
        <v>1831.31521878731</v>
      </c>
      <c r="Q6">
        <v>16.172008751596401</v>
      </c>
      <c r="R6">
        <v>0.62402078269795203</v>
      </c>
      <c r="S6">
        <v>399.98813058735902</v>
      </c>
      <c r="T6">
        <v>0.23488847493172599</v>
      </c>
    </row>
    <row r="7" spans="1:20" x14ac:dyDescent="0.35">
      <c r="A7" t="s">
        <v>23</v>
      </c>
      <c r="B7">
        <v>40</v>
      </c>
      <c r="C7">
        <v>1602286</v>
      </c>
      <c r="D7">
        <v>0.512306975</v>
      </c>
      <c r="E7">
        <v>0.49925332</v>
      </c>
      <c r="F7">
        <v>564.40712259999998</v>
      </c>
      <c r="G7">
        <v>0.2152</v>
      </c>
      <c r="H7">
        <v>0.18609999999999999</v>
      </c>
      <c r="I7">
        <v>0.25140000000000001</v>
      </c>
      <c r="J7">
        <v>0.3473</v>
      </c>
      <c r="K7" t="s">
        <v>9</v>
      </c>
      <c r="L7" t="s">
        <v>21</v>
      </c>
      <c r="N7" s="1" t="s">
        <v>51</v>
      </c>
      <c r="O7" s="1" t="s">
        <v>52</v>
      </c>
      <c r="P7">
        <v>842.41710698567897</v>
      </c>
      <c r="Q7">
        <v>13.947902126940599</v>
      </c>
      <c r="R7">
        <v>0.80810091987197497</v>
      </c>
      <c r="S7">
        <v>376.21961893161199</v>
      </c>
      <c r="T7">
        <v>0.16125788762926199</v>
      </c>
    </row>
    <row r="8" spans="1:20" x14ac:dyDescent="0.35">
      <c r="A8" t="s">
        <v>24</v>
      </c>
      <c r="B8">
        <v>18</v>
      </c>
      <c r="C8">
        <v>375824</v>
      </c>
      <c r="D8">
        <v>0.74123403700000001</v>
      </c>
      <c r="E8">
        <v>0.74417795099999995</v>
      </c>
      <c r="F8">
        <v>582.93712259999995</v>
      </c>
      <c r="G8">
        <v>0.39500000000000002</v>
      </c>
      <c r="H8">
        <v>0.1268</v>
      </c>
      <c r="I8">
        <v>0.1966</v>
      </c>
      <c r="J8">
        <v>0.28160000000000002</v>
      </c>
      <c r="K8" t="s">
        <v>11</v>
      </c>
      <c r="L8" t="s">
        <v>21</v>
      </c>
      <c r="N8" s="1" t="s">
        <v>55</v>
      </c>
      <c r="O8" s="1" t="s">
        <v>56</v>
      </c>
      <c r="P8">
        <v>1273.03170285429</v>
      </c>
      <c r="Q8">
        <v>15.682883167459799</v>
      </c>
      <c r="R8">
        <v>0.58909021952529095</v>
      </c>
      <c r="S8">
        <v>356.99695206818399</v>
      </c>
      <c r="T8">
        <v>0.159118294808859</v>
      </c>
    </row>
    <row r="9" spans="1:20" x14ac:dyDescent="0.35">
      <c r="A9" t="s">
        <v>14</v>
      </c>
      <c r="B9">
        <v>36</v>
      </c>
      <c r="C9">
        <v>723429</v>
      </c>
      <c r="D9">
        <v>0.77857853700000001</v>
      </c>
      <c r="E9">
        <v>0.767097115</v>
      </c>
      <c r="F9">
        <v>229.012259</v>
      </c>
      <c r="G9">
        <v>0.253</v>
      </c>
      <c r="H9">
        <v>0.12620000000000001</v>
      </c>
      <c r="I9">
        <v>0.2215</v>
      </c>
      <c r="J9">
        <v>0.3992</v>
      </c>
      <c r="K9" t="s">
        <v>9</v>
      </c>
      <c r="L9" t="s">
        <v>21</v>
      </c>
      <c r="N9" s="1" t="s">
        <v>40</v>
      </c>
      <c r="O9" s="1" t="s">
        <v>41</v>
      </c>
      <c r="P9">
        <v>504.08816812222801</v>
      </c>
      <c r="Q9">
        <v>13.706401510558299</v>
      </c>
      <c r="R9">
        <v>0.60107584096614697</v>
      </c>
      <c r="S9">
        <v>375.82126487020599</v>
      </c>
      <c r="T9">
        <v>0.166036146302948</v>
      </c>
    </row>
    <row r="10" spans="1:20" x14ac:dyDescent="0.35">
      <c r="A10" t="s">
        <v>15</v>
      </c>
      <c r="B10">
        <v>39</v>
      </c>
      <c r="C10">
        <v>883163</v>
      </c>
      <c r="D10">
        <v>0.60194170700000005</v>
      </c>
      <c r="E10">
        <v>0.59166806400000005</v>
      </c>
      <c r="F10">
        <v>972.03382439999996</v>
      </c>
      <c r="G10">
        <v>0.19980000000000001</v>
      </c>
      <c r="H10">
        <v>0.19889999999999999</v>
      </c>
      <c r="I10">
        <v>0.32900000000000001</v>
      </c>
      <c r="J10">
        <v>0.27229999999999999</v>
      </c>
      <c r="K10" t="s">
        <v>9</v>
      </c>
      <c r="L10" t="s">
        <v>21</v>
      </c>
      <c r="N10" s="1" t="s">
        <v>42</v>
      </c>
      <c r="O10" s="1" t="s">
        <v>43</v>
      </c>
      <c r="P10">
        <v>1714.4770613656799</v>
      </c>
      <c r="Q10">
        <v>13.037381870882999</v>
      </c>
      <c r="R10">
        <v>0.50200626727762299</v>
      </c>
      <c r="S10">
        <v>324.05421665032799</v>
      </c>
      <c r="T10">
        <v>0.220966401606178</v>
      </c>
    </row>
    <row r="11" spans="1:20" x14ac:dyDescent="0.35">
      <c r="A11" t="s">
        <v>16</v>
      </c>
      <c r="B11">
        <v>5</v>
      </c>
      <c r="C11">
        <v>59346</v>
      </c>
      <c r="D11">
        <v>0.83498642599999995</v>
      </c>
      <c r="E11">
        <v>0.832722933</v>
      </c>
      <c r="F11">
        <v>1218.1312909999999</v>
      </c>
      <c r="G11">
        <v>0.11550000000000001</v>
      </c>
      <c r="H11">
        <v>9.0399999999999994E-2</v>
      </c>
      <c r="I11">
        <v>0.61409999999999998</v>
      </c>
      <c r="J11">
        <v>0.18</v>
      </c>
      <c r="K11" t="s">
        <v>11</v>
      </c>
      <c r="L11" t="s">
        <v>21</v>
      </c>
      <c r="N11" s="1" t="s">
        <v>38</v>
      </c>
      <c r="O11" s="1" t="s">
        <v>39</v>
      </c>
      <c r="P11">
        <v>4262.67067891448</v>
      </c>
      <c r="Q11">
        <v>25.679286796789299</v>
      </c>
      <c r="R11">
        <v>0.52797179872035604</v>
      </c>
      <c r="S11">
        <v>359.54010333443301</v>
      </c>
      <c r="T11">
        <v>0.249210856671048</v>
      </c>
    </row>
    <row r="12" spans="1:20" x14ac:dyDescent="0.35">
      <c r="A12" t="s">
        <v>17</v>
      </c>
      <c r="B12">
        <v>5</v>
      </c>
      <c r="C12">
        <v>44353</v>
      </c>
      <c r="D12">
        <v>0.89892620899999998</v>
      </c>
      <c r="E12">
        <v>0.88229043500000004</v>
      </c>
      <c r="F12">
        <v>94.449608260000005</v>
      </c>
      <c r="G12">
        <v>0.28470000000000001</v>
      </c>
      <c r="H12">
        <v>0.27229999999999999</v>
      </c>
      <c r="I12">
        <v>0.2366</v>
      </c>
      <c r="J12">
        <v>0.2064</v>
      </c>
      <c r="K12" t="s">
        <v>9</v>
      </c>
      <c r="L12" t="s">
        <v>21</v>
      </c>
      <c r="N12">
        <v>714.10272978603803</v>
      </c>
      <c r="O12" s="1" t="s">
        <v>44</v>
      </c>
      <c r="P12">
        <v>398.47270869335699</v>
      </c>
      <c r="Q12">
        <v>24.540174091042399</v>
      </c>
      <c r="R12">
        <v>1.30433016133025</v>
      </c>
      <c r="S12">
        <v>538.97126165309203</v>
      </c>
      <c r="T12">
        <v>0.16049177512653101</v>
      </c>
    </row>
    <row r="13" spans="1:20" x14ac:dyDescent="0.35">
      <c r="A13" t="s">
        <v>18</v>
      </c>
      <c r="B13">
        <v>4</v>
      </c>
      <c r="C13">
        <v>39982</v>
      </c>
      <c r="D13">
        <v>0.56923335100000005</v>
      </c>
      <c r="E13">
        <v>0.57997591199999998</v>
      </c>
      <c r="F13">
        <v>431.77548619999999</v>
      </c>
      <c r="G13">
        <v>0.23480000000000001</v>
      </c>
      <c r="H13">
        <v>0.2218</v>
      </c>
      <c r="I13">
        <v>0.12089999999999999</v>
      </c>
      <c r="J13">
        <v>0.42249999999999999</v>
      </c>
      <c r="K13" t="s">
        <v>9</v>
      </c>
      <c r="L13" t="s">
        <v>21</v>
      </c>
      <c r="N13" s="1" t="s">
        <v>45</v>
      </c>
      <c r="O13" s="1" t="s">
        <v>46</v>
      </c>
      <c r="P13">
        <v>917.32257692079099</v>
      </c>
      <c r="Q13">
        <v>18.6862853992629</v>
      </c>
      <c r="R13">
        <v>1.38224646230742</v>
      </c>
      <c r="S13">
        <v>439.78727683885597</v>
      </c>
      <c r="T13">
        <v>0.11053315215045301</v>
      </c>
    </row>
    <row r="14" spans="1:20" x14ac:dyDescent="0.35">
      <c r="A14" t="s">
        <v>19</v>
      </c>
      <c r="B14">
        <v>3</v>
      </c>
      <c r="C14">
        <v>32509</v>
      </c>
      <c r="D14">
        <v>0.85659612500000004</v>
      </c>
      <c r="E14">
        <v>0.84384574599999995</v>
      </c>
      <c r="F14">
        <v>263.82112979999999</v>
      </c>
      <c r="G14">
        <v>0.50190000000000001</v>
      </c>
      <c r="H14">
        <v>8.3699999999999997E-2</v>
      </c>
      <c r="I14">
        <v>0.29909999999999998</v>
      </c>
      <c r="J14">
        <v>0.1153</v>
      </c>
      <c r="K14" t="s">
        <v>9</v>
      </c>
      <c r="L14" t="s">
        <v>21</v>
      </c>
      <c r="N14" s="1" t="s">
        <v>47</v>
      </c>
      <c r="O14" s="1" t="s">
        <v>48</v>
      </c>
      <c r="P14">
        <v>789.21848486162799</v>
      </c>
      <c r="Q14">
        <v>7.5512610098195196</v>
      </c>
      <c r="R14">
        <v>0.30618888768021002</v>
      </c>
      <c r="S14">
        <v>369.089509498273</v>
      </c>
      <c r="T14">
        <v>0.29980468441327401</v>
      </c>
    </row>
    <row r="15" spans="1:20" x14ac:dyDescent="0.35">
      <c r="A15" t="s">
        <v>20</v>
      </c>
      <c r="B15">
        <v>3</v>
      </c>
      <c r="C15">
        <v>459827</v>
      </c>
      <c r="D15">
        <v>0.831201576</v>
      </c>
      <c r="E15">
        <v>0.81867203099999997</v>
      </c>
      <c r="F15">
        <v>70.654226660000006</v>
      </c>
      <c r="G15">
        <v>8.0699999999999994E-2</v>
      </c>
      <c r="H15">
        <v>0.1739</v>
      </c>
      <c r="I15">
        <v>0.3523</v>
      </c>
      <c r="J15">
        <v>0.39300000000000002</v>
      </c>
      <c r="K15" t="s">
        <v>9</v>
      </c>
      <c r="L15" t="s">
        <v>21</v>
      </c>
      <c r="N15" s="1" t="s">
        <v>49</v>
      </c>
      <c r="O15" s="1" t="s">
        <v>50</v>
      </c>
      <c r="P15">
        <v>229.66737168810801</v>
      </c>
      <c r="Q15">
        <v>16.3672629162707</v>
      </c>
      <c r="R15">
        <v>1.4066629818668199</v>
      </c>
      <c r="S15">
        <v>451.16459825761501</v>
      </c>
      <c r="T15">
        <v>6.6371479778875905E-2</v>
      </c>
    </row>
    <row r="16" spans="1:20" x14ac:dyDescent="0.35">
      <c r="A16" t="s">
        <v>62</v>
      </c>
      <c r="D16">
        <f>AVERAGE(D6:D15)</f>
        <v>0.73966502499999998</v>
      </c>
    </row>
    <row r="36" spans="2:3" x14ac:dyDescent="0.35">
      <c r="B36" s="1"/>
      <c r="C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B2AD-349F-42CE-B51C-EEBEF38F7D27}">
  <dimension ref="A1:D14"/>
  <sheetViews>
    <sheetView workbookViewId="0">
      <selection sqref="A1:D14"/>
    </sheetView>
  </sheetViews>
  <sheetFormatPr defaultRowHeight="14.5" x14ac:dyDescent="0.35"/>
  <sheetData>
    <row r="1" spans="1:4" x14ac:dyDescent="0.35">
      <c r="A1">
        <v>14.026697196711201</v>
      </c>
      <c r="B1">
        <v>0.80833812367924596</v>
      </c>
      <c r="C1">
        <v>393.26234847946</v>
      </c>
      <c r="D1">
        <v>0.140528382182005</v>
      </c>
    </row>
    <row r="2" spans="1:4" x14ac:dyDescent="0.35">
      <c r="A2">
        <v>25.679286796789299</v>
      </c>
      <c r="B2">
        <v>0.52797179872035604</v>
      </c>
      <c r="C2">
        <v>359.54010333443301</v>
      </c>
      <c r="D2">
        <v>0.249210856671048</v>
      </c>
    </row>
    <row r="3" spans="1:4" x14ac:dyDescent="0.35">
      <c r="A3">
        <v>15.8431097294946</v>
      </c>
      <c r="B3">
        <v>0.479668849230381</v>
      </c>
      <c r="C3">
        <v>264.54299726826798</v>
      </c>
      <c r="D3">
        <v>0.32893216866785302</v>
      </c>
    </row>
    <row r="4" spans="1:4" x14ac:dyDescent="0.35">
      <c r="A4">
        <v>11.3194127268707</v>
      </c>
      <c r="B4">
        <v>0.45569312194720002</v>
      </c>
      <c r="C4">
        <v>378.26232563087302</v>
      </c>
      <c r="D4">
        <v>0.20917951880888999</v>
      </c>
    </row>
    <row r="5" spans="1:4" x14ac:dyDescent="0.35">
      <c r="A5">
        <v>16.172008751596401</v>
      </c>
      <c r="B5">
        <v>0.62402078269795203</v>
      </c>
      <c r="C5">
        <v>399.98813058735902</v>
      </c>
      <c r="D5">
        <v>0.23488847493172599</v>
      </c>
    </row>
    <row r="6" spans="1:4" x14ac:dyDescent="0.35">
      <c r="A6">
        <v>13.947902126940599</v>
      </c>
      <c r="B6">
        <v>0.80810091987197497</v>
      </c>
      <c r="C6">
        <v>376.21961893161199</v>
      </c>
      <c r="D6">
        <v>0.16125788762926199</v>
      </c>
    </row>
    <row r="7" spans="1:4" x14ac:dyDescent="0.35">
      <c r="A7">
        <v>15.682883167459799</v>
      </c>
      <c r="B7">
        <v>0.58909021952529095</v>
      </c>
      <c r="C7">
        <v>356.99695206818399</v>
      </c>
      <c r="D7">
        <v>0.159118294808859</v>
      </c>
    </row>
    <row r="8" spans="1:4" x14ac:dyDescent="0.35">
      <c r="A8">
        <v>13.706401510558299</v>
      </c>
      <c r="B8">
        <v>0.60107584096614697</v>
      </c>
      <c r="C8">
        <v>375.82126487020599</v>
      </c>
      <c r="D8">
        <v>0.166036146302948</v>
      </c>
    </row>
    <row r="9" spans="1:4" x14ac:dyDescent="0.35">
      <c r="A9">
        <v>13.037381870882999</v>
      </c>
      <c r="B9">
        <v>0.50200626727762299</v>
      </c>
      <c r="C9">
        <v>324.05421665032799</v>
      </c>
      <c r="D9">
        <v>0.220966401606178</v>
      </c>
    </row>
    <row r="10" spans="1:4" x14ac:dyDescent="0.35">
      <c r="A10">
        <v>25.679286796789299</v>
      </c>
      <c r="B10">
        <v>0.52797179872035604</v>
      </c>
      <c r="C10">
        <v>359.54010333443301</v>
      </c>
      <c r="D10">
        <v>0.249210856671048</v>
      </c>
    </row>
    <row r="11" spans="1:4" x14ac:dyDescent="0.35">
      <c r="A11">
        <v>24.540174091042399</v>
      </c>
      <c r="B11">
        <v>1.30433016133025</v>
      </c>
      <c r="C11">
        <v>538.97126165309203</v>
      </c>
      <c r="D11">
        <v>0.16049177512653101</v>
      </c>
    </row>
    <row r="12" spans="1:4" x14ac:dyDescent="0.35">
      <c r="A12">
        <v>18.6862853992629</v>
      </c>
      <c r="B12">
        <v>1.38224646230742</v>
      </c>
      <c r="C12">
        <v>439.78727683885597</v>
      </c>
      <c r="D12">
        <v>0.11053315215045301</v>
      </c>
    </row>
    <row r="13" spans="1:4" x14ac:dyDescent="0.35">
      <c r="A13">
        <v>7.5512610098195196</v>
      </c>
      <c r="B13">
        <v>0.30618888768021002</v>
      </c>
      <c r="C13">
        <v>369.089509498273</v>
      </c>
      <c r="D13">
        <v>0.29980468441327401</v>
      </c>
    </row>
    <row r="14" spans="1:4" x14ac:dyDescent="0.35">
      <c r="A14">
        <v>16.3672629162707</v>
      </c>
      <c r="B14">
        <v>1.4066629818668199</v>
      </c>
      <c r="C14">
        <v>451.16459825761501</v>
      </c>
      <c r="D14">
        <v>6.6371479778875905E-2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Hartzell</dc:creator>
  <cp:lastModifiedBy>Samantha Hartzell</cp:lastModifiedBy>
  <dcterms:created xsi:type="dcterms:W3CDTF">2024-04-03T19:54:07Z</dcterms:created>
  <dcterms:modified xsi:type="dcterms:W3CDTF">2024-04-30T01:15:18Z</dcterms:modified>
</cp:coreProperties>
</file>